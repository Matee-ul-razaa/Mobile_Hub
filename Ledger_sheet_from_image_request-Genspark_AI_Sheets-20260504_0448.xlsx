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\OneDrive\Desktop\"/>
    </mc:Choice>
  </mc:AlternateContent>
  <xr:revisionPtr revIDLastSave="0" documentId="13_ncr:1_{34621D17-2F61-496B-8F23-8DF81AFF46D8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" l="1"/>
  <c r="G64" i="1"/>
  <c r="F64" i="1" s="1"/>
  <c r="F16" i="1"/>
  <c r="B16" i="1" s="1"/>
  <c r="F15" i="1"/>
  <c r="C15" i="1" s="1"/>
  <c r="C58" i="1" s="1"/>
  <c r="F13" i="1"/>
  <c r="B13" i="1" s="1"/>
  <c r="F18" i="1"/>
  <c r="F12" i="1"/>
  <c r="B12" i="1"/>
  <c r="B18" i="1"/>
  <c r="G65" i="1"/>
  <c r="F65" i="1"/>
  <c r="F14" i="1"/>
  <c r="B58" i="1" l="1"/>
  <c r="C59" i="1" s="1"/>
</calcChain>
</file>

<file path=xl/sharedStrings.xml><?xml version="1.0" encoding="utf-8"?>
<sst xmlns="http://schemas.openxmlformats.org/spreadsheetml/2006/main" count="51" uniqueCount="51">
  <si>
    <t>Description</t>
  </si>
  <si>
    <t>Notes</t>
  </si>
  <si>
    <t>Old invest</t>
  </si>
  <si>
    <t>Profit reinvested</t>
  </si>
  <si>
    <t>Shah investment</t>
  </si>
  <si>
    <t>Azam investment</t>
  </si>
  <si>
    <t>Shahid investment</t>
  </si>
  <si>
    <t>GQ investment</t>
  </si>
  <si>
    <t>Pro march Zunair reinvested</t>
  </si>
  <si>
    <t>Pro march Usman reinvested</t>
  </si>
  <si>
    <t>April 6th shipment usman</t>
  </si>
  <si>
    <t>May01 shipment Zunair</t>
  </si>
  <si>
    <t>fazi receiveables</t>
  </si>
  <si>
    <t>bwgum</t>
  </si>
  <si>
    <t>Ghafoor 50,000, Shah 60,000, Muhammad azam 19000, Ghulam Qambar 21000</t>
  </si>
  <si>
    <t>Home nadeem expen</t>
  </si>
  <si>
    <t>Ghafoor march inv pro</t>
  </si>
  <si>
    <t>April hawala</t>
  </si>
  <si>
    <t>Nadeem kameti</t>
  </si>
  <si>
    <t>Begum+Ramzan short term investment</t>
  </si>
  <si>
    <t>March Hawala fee</t>
  </si>
  <si>
    <t>misc amnt</t>
  </si>
  <si>
    <t>fazi 20 lac loss</t>
  </si>
  <si>
    <t>fazi hawala fee</t>
  </si>
  <si>
    <t>Total</t>
  </si>
  <si>
    <t>Remaining (Credit - Debit)</t>
  </si>
  <si>
    <t>CASH IN HAND</t>
  </si>
  <si>
    <t>Zunair adv (SHORT TRM INVESTMENT)</t>
  </si>
  <si>
    <t>usman receiveables (SHORT TERM INVEST)</t>
  </si>
  <si>
    <t>HAWALA MAY</t>
  </si>
  <si>
    <t>ramzan paid 35k PKr= 185000 wons</t>
  </si>
  <si>
    <t>2244000-185000</t>
  </si>
  <si>
    <t>527000+523000</t>
  </si>
  <si>
    <t>usman 8th may shipment</t>
  </si>
  <si>
    <t>APRIL Hawala fee</t>
  </si>
  <si>
    <t>TOTAL DISCONT FOR MARCH AND APRIL IS 1591000 BUT SONNY 150,000 MINUS SO 1,441,000</t>
  </si>
  <si>
    <t>UPDATED TILL May 13</t>
  </si>
  <si>
    <t>mazhar</t>
  </si>
  <si>
    <t>bilawal hm</t>
  </si>
  <si>
    <t>100000pkr</t>
  </si>
  <si>
    <t xml:space="preserve"> extra 300,000 wons</t>
  </si>
  <si>
    <t>SHAHID PAYOUT +RECEIVABLES</t>
  </si>
  <si>
    <t>(PAYOUT350000)+ (RECEIVABLES)65000</t>
  </si>
  <si>
    <r>
      <t xml:space="preserve">received= </t>
    </r>
    <r>
      <rPr>
        <b/>
        <sz val="11"/>
        <color rgb="FFFF0000"/>
        <rFont val="Calibri"/>
        <family val="2"/>
      </rPr>
      <t>1,488,000</t>
    </r>
    <r>
      <rPr>
        <b/>
        <sz val="11"/>
        <rFont val="Calibri"/>
        <family val="2"/>
      </rPr>
      <t xml:space="preserve"> pkr till May 10th</t>
    </r>
  </si>
  <si>
    <t>SHAH PAYOUT</t>
  </si>
  <si>
    <t>Debit (KRW)</t>
  </si>
  <si>
    <t>Credit (KRW)</t>
  </si>
  <si>
    <t>ROUGH ESTIMATE (PKR= 698000+500000+400000+100000+350000)</t>
  </si>
  <si>
    <t>as per wons 687000</t>
  </si>
  <si>
    <t>USMAN</t>
  </si>
  <si>
    <t>MAY 15 ZUNAIR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</si>
</sst>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_([$PKR]\ * #,##0_);_([$PKR]\ * \(#,##0\);_([$PKR]\ * &quot;-&quot;_);_(@_)"/>
  </numFmts>
  <fonts count="8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>
      <alignment vertical="top"/>
    </xf>
  </cellStyleXfs>
  <cellXfs count="33">
    <xf numFmtId="0" fontId="0" fillId="0" borderId="1" xfId="0">
      <alignment vertical="top"/>
    </xf>
    <xf numFmtId="164" fontId="1" fillId="7" borderId="2" xfId="0" applyNumberFormat="1" applyFont="1" applyFill="1" applyBorder="1" applyAlignment="1">
      <alignment horizontal="center" vertical="top"/>
    </xf>
    <xf numFmtId="0" fontId="1" fillId="10" borderId="2" xfId="0" applyFont="1" applyFill="1" applyBorder="1" applyAlignment="1">
      <alignment horizontal="left" vertical="top"/>
    </xf>
    <xf numFmtId="164" fontId="1" fillId="10" borderId="2" xfId="0" applyNumberFormat="1" applyFont="1" applyFill="1" applyBorder="1" applyAlignment="1">
      <alignment horizontal="center" vertical="top"/>
    </xf>
    <xf numFmtId="0" fontId="1" fillId="10" borderId="2" xfId="0" applyFont="1" applyFill="1" applyBorder="1" applyAlignment="1">
      <alignment horizontal="center" vertical="top"/>
    </xf>
    <xf numFmtId="0" fontId="3" fillId="10" borderId="1" xfId="0" applyFont="1" applyFill="1">
      <alignment vertical="top"/>
    </xf>
    <xf numFmtId="0" fontId="3" fillId="10" borderId="1" xfId="0" applyFont="1" applyFill="1" applyAlignment="1">
      <alignment horizontal="center" vertical="top"/>
    </xf>
    <xf numFmtId="0" fontId="5" fillId="2" borderId="2" xfId="0" applyFont="1" applyFill="1" applyBorder="1" applyAlignment="1">
      <alignment horizontal="center" vertical="center"/>
    </xf>
    <xf numFmtId="0" fontId="4" fillId="0" borderId="1" xfId="0" applyFont="1">
      <alignment vertical="top"/>
    </xf>
    <xf numFmtId="0" fontId="4" fillId="0" borderId="1" xfId="0" applyFont="1" applyAlignment="1">
      <alignment horizontal="center" vertical="top"/>
    </xf>
    <xf numFmtId="0" fontId="6" fillId="3" borderId="2" xfId="0" applyFont="1" applyFill="1" applyBorder="1" applyAlignment="1">
      <alignment horizontal="left" vertical="top"/>
    </xf>
    <xf numFmtId="164" fontId="6" fillId="3" borderId="2" xfId="0" applyNumberFormat="1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6" fillId="0" borderId="2" xfId="0" applyFont="1" applyBorder="1" applyAlignment="1">
      <alignment horizontal="left" vertical="top"/>
    </xf>
    <xf numFmtId="164" fontId="6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8" borderId="2" xfId="0" applyFont="1" applyFill="1" applyBorder="1" applyAlignment="1">
      <alignment horizontal="left" vertical="top"/>
    </xf>
    <xf numFmtId="164" fontId="6" fillId="8" borderId="2" xfId="0" applyNumberFormat="1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left" vertical="top"/>
    </xf>
    <xf numFmtId="164" fontId="6" fillId="9" borderId="2" xfId="0" applyNumberFormat="1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 vertical="top"/>
    </xf>
    <xf numFmtId="0" fontId="4" fillId="9" borderId="1" xfId="0" applyFont="1" applyFill="1">
      <alignment vertical="top"/>
    </xf>
    <xf numFmtId="0" fontId="4" fillId="9" borderId="1" xfId="0" applyFont="1" applyFill="1" applyAlignment="1">
      <alignment horizontal="center" vertical="top"/>
    </xf>
    <xf numFmtId="164" fontId="5" fillId="4" borderId="2" xfId="0" applyNumberFormat="1" applyFont="1" applyFill="1" applyBorder="1" applyAlignment="1">
      <alignment horizontal="center" vertical="top"/>
    </xf>
    <xf numFmtId="49" fontId="6" fillId="0" borderId="2" xfId="0" applyNumberFormat="1" applyFont="1" applyBorder="1" applyAlignment="1">
      <alignment horizontal="left" vertical="top"/>
    </xf>
    <xf numFmtId="164" fontId="6" fillId="5" borderId="3" xfId="0" applyNumberFormat="1" applyFont="1" applyFill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64" fontId="6" fillId="6" borderId="2" xfId="0" applyNumberFormat="1" applyFont="1" applyFill="1" applyBorder="1" applyAlignment="1">
      <alignment horizontal="center" vertical="top"/>
    </xf>
    <xf numFmtId="164" fontId="6" fillId="6" borderId="4" xfId="0" applyNumberFormat="1" applyFont="1" applyFill="1" applyBorder="1" applyAlignment="1">
      <alignment horizontal="center" vertical="top"/>
    </xf>
    <xf numFmtId="0" fontId="4" fillId="11" borderId="5" xfId="0" applyFont="1" applyFill="1" applyBorder="1">
      <alignment vertical="top"/>
    </xf>
    <xf numFmtId="165" fontId="4" fillId="11" borderId="5" xfId="0" applyNumberFormat="1" applyFont="1" applyFill="1" applyBorder="1" applyAlignment="1">
      <alignment horizontal="left" vertical="top"/>
    </xf>
    <xf numFmtId="0" fontId="4" fillId="0" borderId="1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04D8-F3E8-E756-F478-251169518A68}">
  <dimension ref="A1:O67"/>
  <sheetViews>
    <sheetView tabSelected="1" topLeftCell="A42" zoomScale="89" zoomScaleNormal="130" workbookViewId="0">
      <selection activeCell="A29" sqref="A29"/>
    </sheetView>
  </sheetViews>
  <sheetFormatPr defaultColWidth="8.88671875" defaultRowHeight="15" customHeight="1" x14ac:dyDescent="0.3"/>
  <cols>
    <col min="1" max="1" width="35.6640625" style="8" customWidth="1"/>
    <col min="2" max="3" width="18.5546875" style="9" customWidth="1"/>
    <col min="4" max="4" width="68.21875" style="9" customWidth="1"/>
    <col min="5" max="5" width="13.77734375" style="8" customWidth="1"/>
    <col min="6" max="6" width="91.21875" style="9" customWidth="1"/>
    <col min="7" max="13" width="8.88671875" style="8"/>
    <col min="14" max="14" width="49.33203125" style="8" customWidth="1"/>
    <col min="15" max="16384" width="8.88671875" style="8"/>
  </cols>
  <sheetData>
    <row r="1" spans="1:6" ht="18.75" customHeight="1" x14ac:dyDescent="0.3">
      <c r="A1" s="7" t="s">
        <v>0</v>
      </c>
      <c r="B1" s="7" t="s">
        <v>45</v>
      </c>
      <c r="C1" s="7" t="s">
        <v>46</v>
      </c>
      <c r="D1" s="7" t="s">
        <v>1</v>
      </c>
    </row>
    <row r="2" spans="1:6" ht="15" customHeight="1" x14ac:dyDescent="0.3">
      <c r="A2" s="10" t="s">
        <v>2</v>
      </c>
      <c r="B2" s="11"/>
      <c r="C2" s="11">
        <v>14200000</v>
      </c>
      <c r="D2" s="12"/>
    </row>
    <row r="3" spans="1:6" ht="15" customHeight="1" x14ac:dyDescent="0.3">
      <c r="A3" s="13" t="s">
        <v>3</v>
      </c>
      <c r="B3" s="14"/>
      <c r="C3" s="14">
        <v>1700000</v>
      </c>
      <c r="D3" s="15"/>
    </row>
    <row r="4" spans="1:6" ht="15" customHeight="1" x14ac:dyDescent="0.3">
      <c r="A4" s="10" t="s">
        <v>4</v>
      </c>
      <c r="B4" s="11"/>
      <c r="C4" s="11">
        <v>8100000</v>
      </c>
      <c r="D4" s="12"/>
    </row>
    <row r="5" spans="1:6" ht="15" customHeight="1" x14ac:dyDescent="0.3">
      <c r="A5" s="13" t="s">
        <v>5</v>
      </c>
      <c r="B5" s="14"/>
      <c r="C5" s="14">
        <v>5300000</v>
      </c>
      <c r="D5" s="15"/>
    </row>
    <row r="6" spans="1:6" ht="15" customHeight="1" x14ac:dyDescent="0.3">
      <c r="A6" s="10" t="s">
        <v>6</v>
      </c>
      <c r="B6" s="11"/>
      <c r="C6" s="11">
        <v>5270000</v>
      </c>
      <c r="D6" s="12"/>
    </row>
    <row r="7" spans="1:6" ht="15" customHeight="1" x14ac:dyDescent="0.3">
      <c r="A7" s="13" t="s">
        <v>7</v>
      </c>
      <c r="B7" s="14"/>
      <c r="C7" s="14">
        <v>6350000</v>
      </c>
      <c r="D7" s="15"/>
    </row>
    <row r="8" spans="1:6" ht="15" customHeight="1" x14ac:dyDescent="0.3">
      <c r="A8" s="10" t="s">
        <v>8</v>
      </c>
      <c r="B8" s="11"/>
      <c r="C8" s="11">
        <v>1130000</v>
      </c>
      <c r="D8" s="12"/>
    </row>
    <row r="9" spans="1:6" ht="15" customHeight="1" x14ac:dyDescent="0.3">
      <c r="A9" s="13" t="s">
        <v>9</v>
      </c>
      <c r="B9" s="14"/>
      <c r="C9" s="14">
        <v>2100000</v>
      </c>
      <c r="D9" s="15"/>
    </row>
    <row r="10" spans="1:6" ht="15" customHeight="1" x14ac:dyDescent="0.3">
      <c r="A10" s="10" t="s">
        <v>10</v>
      </c>
      <c r="B10" s="11">
        <v>19370000</v>
      </c>
      <c r="C10" s="11"/>
      <c r="D10" s="12"/>
    </row>
    <row r="11" spans="1:6" ht="15" customHeight="1" x14ac:dyDescent="0.3">
      <c r="A11" s="13" t="s">
        <v>11</v>
      </c>
      <c r="B11" s="14">
        <v>12640000</v>
      </c>
      <c r="C11" s="14"/>
      <c r="D11" s="15"/>
    </row>
    <row r="12" spans="1:6" ht="15" customHeight="1" x14ac:dyDescent="0.3">
      <c r="A12" s="16" t="s">
        <v>26</v>
      </c>
      <c r="B12" s="17">
        <f>F12</f>
        <v>-1416000</v>
      </c>
      <c r="C12" s="17"/>
      <c r="D12" s="18" t="s">
        <v>36</v>
      </c>
      <c r="F12" s="9">
        <f>1964000-(500000+470000+570000+570000+470000+800000)</f>
        <v>-1416000</v>
      </c>
    </row>
    <row r="13" spans="1:6" s="22" customFormat="1" ht="15" customHeight="1" x14ac:dyDescent="0.3">
      <c r="A13" s="19" t="s">
        <v>12</v>
      </c>
      <c r="B13" s="20">
        <f>F13</f>
        <v>7738000</v>
      </c>
      <c r="C13" s="20"/>
      <c r="D13" s="21"/>
      <c r="F13" s="23">
        <f>1036000+1038000+2052000+2580000+1032000</f>
        <v>7738000</v>
      </c>
    </row>
    <row r="14" spans="1:6" ht="15" customHeight="1" x14ac:dyDescent="0.3">
      <c r="A14" s="10" t="s">
        <v>27</v>
      </c>
      <c r="B14" s="11"/>
      <c r="C14" s="11">
        <v>7828000</v>
      </c>
      <c r="D14" s="12" t="s">
        <v>43</v>
      </c>
      <c r="F14" s="9">
        <f>6760000+1068000</f>
        <v>7828000</v>
      </c>
    </row>
    <row r="15" spans="1:6" ht="15" customHeight="1" x14ac:dyDescent="0.3">
      <c r="A15" s="13" t="s">
        <v>28</v>
      </c>
      <c r="B15" s="14"/>
      <c r="C15" s="14">
        <f>F15</f>
        <v>10843000</v>
      </c>
      <c r="D15" s="15" t="s">
        <v>47</v>
      </c>
      <c r="F15" s="9">
        <f>3675000+2670000+2112000+528000+1858000</f>
        <v>10843000</v>
      </c>
    </row>
    <row r="16" spans="1:6" ht="15" customHeight="1" x14ac:dyDescent="0.3">
      <c r="A16" s="10" t="s">
        <v>29</v>
      </c>
      <c r="B16" s="1">
        <f>F16</f>
        <v>300000</v>
      </c>
      <c r="C16" s="11"/>
      <c r="D16" s="12"/>
      <c r="F16" s="9">
        <f>135000+60000+75000+30000</f>
        <v>300000</v>
      </c>
    </row>
    <row r="17" spans="1:15" ht="15" customHeight="1" x14ac:dyDescent="0.3">
      <c r="A17" s="13" t="s">
        <v>13</v>
      </c>
      <c r="B17" s="14">
        <v>791000</v>
      </c>
      <c r="C17" s="14"/>
      <c r="D17" s="15" t="s">
        <v>14</v>
      </c>
    </row>
    <row r="18" spans="1:15" s="5" customFormat="1" ht="15" customHeight="1" x14ac:dyDescent="0.3">
      <c r="A18" s="2" t="s">
        <v>50</v>
      </c>
      <c r="B18" s="3">
        <f>F18</f>
        <v>7450000</v>
      </c>
      <c r="C18" s="3"/>
      <c r="D18" s="4"/>
      <c r="F18" s="6">
        <f>920000+1420000+610000+560000+560000+500000+470000+570000+570000+470000+800000</f>
        <v>7450000</v>
      </c>
    </row>
    <row r="19" spans="1:15" ht="15" customHeight="1" x14ac:dyDescent="0.3">
      <c r="A19" s="13" t="s">
        <v>15</v>
      </c>
      <c r="B19" s="14">
        <v>1050000</v>
      </c>
      <c r="C19" s="14"/>
      <c r="D19" s="15" t="s">
        <v>32</v>
      </c>
    </row>
    <row r="20" spans="1:15" ht="15" customHeight="1" x14ac:dyDescent="0.3">
      <c r="A20" s="10" t="s">
        <v>16</v>
      </c>
      <c r="B20" s="11">
        <v>240000</v>
      </c>
      <c r="C20" s="11"/>
      <c r="D20" s="15"/>
    </row>
    <row r="21" spans="1:15" ht="15" customHeight="1" x14ac:dyDescent="0.3">
      <c r="A21" s="13" t="s">
        <v>17</v>
      </c>
      <c r="B21" s="24">
        <v>451000</v>
      </c>
      <c r="C21" s="14"/>
      <c r="D21" s="15"/>
    </row>
    <row r="22" spans="1:15" ht="15" customHeight="1" x14ac:dyDescent="0.3">
      <c r="A22" s="10" t="s">
        <v>18</v>
      </c>
      <c r="B22" s="11">
        <v>865000</v>
      </c>
      <c r="C22" s="11"/>
      <c r="D22" s="12"/>
    </row>
    <row r="23" spans="1:15" ht="15" customHeight="1" x14ac:dyDescent="0.3">
      <c r="A23" s="13" t="s">
        <v>19</v>
      </c>
      <c r="B23" s="14"/>
      <c r="C23" s="14">
        <v>2059000</v>
      </c>
      <c r="D23" s="15" t="s">
        <v>30</v>
      </c>
      <c r="F23" s="9" t="s">
        <v>31</v>
      </c>
    </row>
    <row r="24" spans="1:15" ht="15" customHeight="1" x14ac:dyDescent="0.3">
      <c r="A24" s="10" t="s">
        <v>34</v>
      </c>
      <c r="B24" s="24">
        <v>380000</v>
      </c>
      <c r="C24" s="11"/>
      <c r="D24" s="15"/>
      <c r="F24" s="32" t="s">
        <v>35</v>
      </c>
      <c r="G24" s="32"/>
      <c r="H24" s="32"/>
      <c r="I24" s="32"/>
    </row>
    <row r="25" spans="1:15" ht="15" customHeight="1" x14ac:dyDescent="0.3">
      <c r="A25" s="13" t="s">
        <v>20</v>
      </c>
      <c r="B25" s="24">
        <v>342000</v>
      </c>
      <c r="C25" s="14"/>
      <c r="D25" s="15"/>
      <c r="F25" s="32"/>
      <c r="G25" s="32"/>
      <c r="H25" s="32"/>
      <c r="I25" s="32"/>
      <c r="N25" s="8">
        <f>3898000+350000</f>
        <v>4248000</v>
      </c>
      <c r="O25" s="8" t="s">
        <v>49</v>
      </c>
    </row>
    <row r="26" spans="1:15" ht="15" customHeight="1" x14ac:dyDescent="0.3">
      <c r="A26" s="10" t="s">
        <v>21</v>
      </c>
      <c r="B26" s="11">
        <v>170000</v>
      </c>
      <c r="C26" s="11"/>
      <c r="D26" s="12"/>
    </row>
    <row r="27" spans="1:15" ht="15" customHeight="1" x14ac:dyDescent="0.3">
      <c r="A27" s="13" t="s">
        <v>22</v>
      </c>
      <c r="B27" s="14">
        <v>60000</v>
      </c>
      <c r="C27" s="11"/>
      <c r="D27" s="12"/>
    </row>
    <row r="28" spans="1:15" ht="15" customHeight="1" x14ac:dyDescent="0.3">
      <c r="A28" s="10" t="s">
        <v>23</v>
      </c>
      <c r="B28" s="1">
        <v>280000</v>
      </c>
      <c r="C28" s="11"/>
      <c r="D28" s="12"/>
    </row>
    <row r="29" spans="1:15" ht="15" customHeight="1" x14ac:dyDescent="0.3">
      <c r="A29" s="10" t="s">
        <v>33</v>
      </c>
      <c r="B29" s="11">
        <v>12720000</v>
      </c>
      <c r="C29" s="11"/>
      <c r="D29" s="12"/>
    </row>
    <row r="30" spans="1:15" ht="15" customHeight="1" x14ac:dyDescent="0.3">
      <c r="A30" s="10" t="s">
        <v>44</v>
      </c>
      <c r="B30" s="11">
        <v>534000</v>
      </c>
      <c r="C30" s="11"/>
      <c r="D30" s="12" t="s">
        <v>39</v>
      </c>
    </row>
    <row r="31" spans="1:15" ht="15" customHeight="1" x14ac:dyDescent="0.3">
      <c r="A31" s="10" t="s">
        <v>41</v>
      </c>
      <c r="B31" s="11">
        <v>528000</v>
      </c>
      <c r="C31" s="11"/>
      <c r="D31" s="12" t="s">
        <v>42</v>
      </c>
    </row>
    <row r="32" spans="1:15" ht="15" customHeight="1" x14ac:dyDescent="0.3">
      <c r="A32" s="10"/>
      <c r="B32" s="11"/>
      <c r="C32" s="11"/>
      <c r="D32" s="12"/>
    </row>
    <row r="33" spans="1:4" ht="15" customHeight="1" x14ac:dyDescent="0.3">
      <c r="A33" s="10"/>
      <c r="B33" s="11"/>
      <c r="C33" s="11"/>
      <c r="D33" s="12"/>
    </row>
    <row r="34" spans="1:4" ht="15" customHeight="1" x14ac:dyDescent="0.3">
      <c r="A34" s="10"/>
      <c r="B34" s="11"/>
      <c r="C34" s="11"/>
      <c r="D34" s="12"/>
    </row>
    <row r="35" spans="1:4" ht="15" customHeight="1" x14ac:dyDescent="0.3">
      <c r="A35" s="10"/>
      <c r="B35" s="11"/>
      <c r="C35" s="11"/>
      <c r="D35" s="12"/>
    </row>
    <row r="36" spans="1:4" ht="15" customHeight="1" x14ac:dyDescent="0.3">
      <c r="A36" s="10"/>
      <c r="B36" s="11"/>
      <c r="C36" s="11"/>
      <c r="D36" s="12"/>
    </row>
    <row r="37" spans="1:4" ht="15" customHeight="1" x14ac:dyDescent="0.3">
      <c r="A37" s="10"/>
      <c r="B37" s="11"/>
      <c r="C37" s="11"/>
      <c r="D37" s="12"/>
    </row>
    <row r="38" spans="1:4" ht="15" customHeight="1" x14ac:dyDescent="0.3">
      <c r="A38" s="10"/>
      <c r="B38" s="11"/>
      <c r="C38" s="11"/>
      <c r="D38" s="12"/>
    </row>
    <row r="39" spans="1:4" ht="15" customHeight="1" x14ac:dyDescent="0.3">
      <c r="A39" s="10"/>
      <c r="B39" s="11"/>
      <c r="C39" s="11"/>
      <c r="D39" s="12"/>
    </row>
    <row r="40" spans="1:4" ht="15" customHeight="1" x14ac:dyDescent="0.3">
      <c r="A40" s="10"/>
      <c r="B40" s="11"/>
      <c r="C40" s="11"/>
      <c r="D40" s="12"/>
    </row>
    <row r="41" spans="1:4" ht="15" customHeight="1" x14ac:dyDescent="0.3">
      <c r="A41" s="10"/>
      <c r="B41" s="11"/>
      <c r="C41" s="11"/>
      <c r="D41" s="12"/>
    </row>
    <row r="42" spans="1:4" ht="15" customHeight="1" x14ac:dyDescent="0.3">
      <c r="A42" s="10"/>
      <c r="B42" s="11"/>
      <c r="C42" s="11"/>
      <c r="D42" s="12"/>
    </row>
    <row r="43" spans="1:4" ht="15" customHeight="1" x14ac:dyDescent="0.3">
      <c r="A43" s="10"/>
      <c r="B43" s="11"/>
      <c r="C43" s="11"/>
      <c r="D43" s="12"/>
    </row>
    <row r="44" spans="1:4" ht="15" customHeight="1" x14ac:dyDescent="0.3">
      <c r="A44" s="10"/>
      <c r="B44" s="11"/>
      <c r="C44" s="11"/>
      <c r="D44" s="12"/>
    </row>
    <row r="45" spans="1:4" ht="15" customHeight="1" x14ac:dyDescent="0.3">
      <c r="A45" s="10"/>
      <c r="B45" s="11"/>
      <c r="C45" s="11"/>
      <c r="D45" s="12"/>
    </row>
    <row r="46" spans="1:4" ht="15" customHeight="1" x14ac:dyDescent="0.3">
      <c r="A46" s="10"/>
      <c r="B46" s="11"/>
      <c r="C46" s="11"/>
      <c r="D46" s="12"/>
    </row>
    <row r="47" spans="1:4" ht="15" customHeight="1" x14ac:dyDescent="0.3">
      <c r="A47" s="10"/>
      <c r="B47" s="11"/>
      <c r="C47" s="11"/>
      <c r="D47" s="12"/>
    </row>
    <row r="48" spans="1:4" ht="15" customHeight="1" x14ac:dyDescent="0.3">
      <c r="A48" s="10"/>
      <c r="B48" s="11"/>
      <c r="C48" s="11"/>
      <c r="D48" s="12"/>
    </row>
    <row r="49" spans="1:14" ht="15" customHeight="1" x14ac:dyDescent="0.3">
      <c r="A49" s="10"/>
      <c r="B49" s="11"/>
      <c r="C49" s="11"/>
      <c r="D49" s="12"/>
    </row>
    <row r="50" spans="1:14" ht="15" customHeight="1" x14ac:dyDescent="0.3">
      <c r="A50" s="10"/>
      <c r="B50" s="11"/>
      <c r="C50" s="11"/>
      <c r="D50" s="12"/>
    </row>
    <row r="51" spans="1:14" ht="15" customHeight="1" x14ac:dyDescent="0.3">
      <c r="A51" s="10"/>
      <c r="B51" s="11"/>
      <c r="C51" s="11"/>
      <c r="D51" s="12"/>
    </row>
    <row r="52" spans="1:14" ht="15" customHeight="1" x14ac:dyDescent="0.3">
      <c r="A52" s="10"/>
      <c r="B52" s="11"/>
      <c r="C52" s="11"/>
      <c r="D52" s="12"/>
    </row>
    <row r="53" spans="1:14" ht="15" customHeight="1" x14ac:dyDescent="0.3">
      <c r="A53" s="10"/>
      <c r="B53" s="11"/>
      <c r="C53" s="11"/>
      <c r="D53" s="12"/>
    </row>
    <row r="54" spans="1:14" ht="15" customHeight="1" x14ac:dyDescent="0.3">
      <c r="A54" s="10"/>
      <c r="B54" s="11"/>
      <c r="C54" s="11"/>
      <c r="D54" s="12"/>
    </row>
    <row r="55" spans="1:14" ht="15" customHeight="1" x14ac:dyDescent="0.3">
      <c r="A55" s="10"/>
      <c r="B55" s="11"/>
      <c r="C55" s="11"/>
      <c r="D55" s="12"/>
    </row>
    <row r="56" spans="1:14" ht="15" customHeight="1" x14ac:dyDescent="0.3">
      <c r="C56" s="14"/>
      <c r="D56" s="15"/>
    </row>
    <row r="57" spans="1:14" ht="15" customHeight="1" x14ac:dyDescent="0.3">
      <c r="C57" s="11"/>
      <c r="D57" s="12"/>
    </row>
    <row r="58" spans="1:14" ht="15" customHeight="1" x14ac:dyDescent="0.3">
      <c r="A58" s="25" t="s">
        <v>24</v>
      </c>
      <c r="B58" s="26">
        <f>SUM(B2:B55)</f>
        <v>64493000</v>
      </c>
      <c r="C58" s="26">
        <f t="shared" ref="C58" si="0">SUM(C2:C57)</f>
        <v>64880000</v>
      </c>
      <c r="D58" s="27"/>
    </row>
    <row r="59" spans="1:14" ht="15" customHeight="1" x14ac:dyDescent="0.3">
      <c r="A59" s="25" t="s">
        <v>25</v>
      </c>
      <c r="B59" s="28"/>
      <c r="C59" s="29">
        <f>C58-B58</f>
        <v>387000</v>
      </c>
      <c r="D59" s="27"/>
      <c r="F59" s="9" t="s">
        <v>40</v>
      </c>
    </row>
    <row r="64" spans="1:14" ht="15" customHeight="1" x14ac:dyDescent="0.3">
      <c r="E64" s="30" t="s">
        <v>37</v>
      </c>
      <c r="F64" s="31">
        <f>G64</f>
        <v>50000</v>
      </c>
      <c r="G64" s="32">
        <f>500000-100000-150000-200000</f>
        <v>50000</v>
      </c>
      <c r="H64" s="32"/>
      <c r="I64" s="32"/>
      <c r="J64" s="32"/>
      <c r="K64" s="32"/>
      <c r="L64" s="32"/>
      <c r="M64" s="32"/>
      <c r="N64" s="32"/>
    </row>
    <row r="65" spans="5:14" ht="15" customHeight="1" x14ac:dyDescent="0.3">
      <c r="E65" s="30" t="s">
        <v>38</v>
      </c>
      <c r="F65" s="31">
        <f>G65</f>
        <v>75000</v>
      </c>
      <c r="G65" s="32">
        <f>75000</f>
        <v>75000</v>
      </c>
      <c r="H65" s="32"/>
      <c r="I65" s="32"/>
      <c r="J65" s="32"/>
      <c r="K65" s="32"/>
      <c r="L65" s="32"/>
      <c r="M65" s="32"/>
      <c r="N65" s="32"/>
    </row>
    <row r="67" spans="5:14" ht="15" customHeight="1" x14ac:dyDescent="0.3">
      <c r="F67" s="9" t="s">
        <v>48</v>
      </c>
    </row>
  </sheetData>
  <mergeCells count="3">
    <mergeCell ref="F24:I25"/>
    <mergeCell ref="G64:N64"/>
    <mergeCell ref="G65:N65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아메드나딤</cp:lastModifiedBy>
  <dcterms:created xsi:type="dcterms:W3CDTF">2026-05-03T19:39:51Z</dcterms:created>
  <dcterms:modified xsi:type="dcterms:W3CDTF">2026-05-17T05:57:02Z</dcterms:modified>
</cp:coreProperties>
</file>